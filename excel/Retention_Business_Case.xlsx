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Segments" sheetId="2" state="visible" r:id="rId4"/>
    <sheet name="Scenarios" sheetId="3" state="visible" r:id="rId5"/>
    <sheet name="Sensitivity" sheetId="4" state="visible" r:id="rId6"/>
    <sheet name="Focused" sheetId="5" state="visible" r:id="rId7"/>
    <sheet name="No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<sst xmlns="http://schemas.openxmlformats.org/spreadsheetml/2006/main" count="117" uniqueCount="90">
  <si>
    <t xml:space="preserve">Retention Business Case - Assumptions</t>
  </si>
  <si>
    <t xml:space="preserve">Blue = editable input. Yellow = key ASSUMPTION (not observed in the dataset). Currency is not stated in the dataset, so money is shown in currency units (CU).</t>
  </si>
  <si>
    <t xml:space="preserve">Gross margin on revenue</t>
  </si>
  <si>
    <t xml:space="preserve">ASSUMPTION - dataset has no cost or margin data. Replace with a company figure if available.</t>
  </si>
  <si>
    <t xml:space="preserve">Annual discount rate</t>
  </si>
  <si>
    <t xml:space="preserve">ASSUMPTION - used to discount future margin in CLV.</t>
  </si>
  <si>
    <t xml:space="preserve">CLV horizon (years)</t>
  </si>
  <si>
    <t xml:space="preserve">ASSUMPTION - caps lifetime to avoid over-valuing very loyal segments.</t>
  </si>
  <si>
    <t xml:space="preserve">Retention cost per targeted customer (CU)</t>
  </si>
  <si>
    <t xml:space="preserve">ASSUMPTION - outreach plus incentive cost per customer contacted. Test in Sensitivity sheet.</t>
  </si>
  <si>
    <t xml:space="preserve">Months per year</t>
  </si>
  <si>
    <t xml:space="preserve">Constant used to annualise monthly charges.</t>
  </si>
  <si>
    <t xml:space="preserve">Minimum segment size to act on (customers)</t>
  </si>
  <si>
    <t xml:space="preserve">Rule: smaller segments are too small to draw conclusions.</t>
  </si>
  <si>
    <t xml:space="preserve">Priority 1 threshold: share of total revenue at risk</t>
  </si>
  <si>
    <t xml:space="preserve">Rule: segment must also churn above the overall rate.</t>
  </si>
  <si>
    <t xml:space="preserve">Churn period assumption</t>
  </si>
  <si>
    <t xml:space="preserve">Observed churn proportion is treated as an ANNUAL churn probability (ASSUMPTION). The dataset flag means 'left within the last month', but a 26.5% monthly rate would imply an average life of under 4 months, which contradicts the observed average tenure of 32.4 months.</t>
  </si>
  <si>
    <t xml:space="preserve">Scenario</t>
  </si>
  <si>
    <t xml:space="preserve">Assumed save rate</t>
  </si>
  <si>
    <t xml:space="preserve">Conservative</t>
  </si>
  <si>
    <t xml:space="preserve">ASSUMPTION - share of would-be churners the programme retains. Not observed in the data.</t>
  </si>
  <si>
    <t xml:space="preserve">Base</t>
  </si>
  <si>
    <t xml:space="preserve">Optimistic</t>
  </si>
  <si>
    <t xml:space="preserve">Customer segments: Contract x Tenure band</t>
  </si>
  <si>
    <t xml:space="preserve">Blue columns B, C, F come from the SQL output in 04_customer_segmentation.sql. All other columns are formulas. Column M (1/0) chooses which segments the scenario targets.</t>
  </si>
  <si>
    <t xml:space="preserve">Segment</t>
  </si>
  <si>
    <t xml:space="preserve">Customers</t>
  </si>
  <si>
    <t xml:space="preserve">Churned</t>
  </si>
  <si>
    <t xml:space="preserve">Active customers</t>
  </si>
  <si>
    <t xml:space="preserve">Churn rate</t>
  </si>
  <si>
    <t xml:space="preserve">Active monthly revenue (CU)</t>
  </si>
  <si>
    <t xml:space="preserve">Avg monthly charge, active (CU)</t>
  </si>
  <si>
    <t xml:space="preserve">Est. annual revenue at risk (CU) - ESTIMATED</t>
  </si>
  <si>
    <t xml:space="preserve">Share of total risk</t>
  </si>
  <si>
    <t xml:space="preserve">Annual gross margin per active customer (CU)</t>
  </si>
  <si>
    <t xml:space="preserve">CLV per active customer, 5-yr (CU) - ESTIMATED</t>
  </si>
  <si>
    <t xml:space="preserve">Break-even save rate</t>
  </si>
  <si>
    <t xml:space="preserve">Target? (1/0)</t>
  </si>
  <si>
    <t xml:space="preserve">Priority</t>
  </si>
  <si>
    <t xml:space="preserve">Month-to-month / 1) 0-12 months</t>
  </si>
  <si>
    <t xml:space="preserve">Month-to-month / 2) 13-24 months</t>
  </si>
  <si>
    <t xml:space="preserve">Month-to-month / 3) 25-48 months</t>
  </si>
  <si>
    <t xml:space="preserve">Month-to-month / 4) 49+ months</t>
  </si>
  <si>
    <t xml:space="preserve">One year / 1) 0-12 months</t>
  </si>
  <si>
    <t xml:space="preserve">One year / 2) 13-24 months</t>
  </si>
  <si>
    <t xml:space="preserve">One year / 3) 25-48 months</t>
  </si>
  <si>
    <t xml:space="preserve">One year / 4) 49+ months</t>
  </si>
  <si>
    <t xml:space="preserve">Two year / 1) 0-12 months</t>
  </si>
  <si>
    <t xml:space="preserve">Two year / 2) 13-24 months</t>
  </si>
  <si>
    <t xml:space="preserve">Two year / 3) 25-48 months</t>
  </si>
  <si>
    <t xml:space="preserve">Two year / 4) 49+ months</t>
  </si>
  <si>
    <t xml:space="preserve">Total / overall</t>
  </si>
  <si>
    <t xml:space="preserve">Notes</t>
  </si>
  <si>
    <t xml:space="preserve">Est. annual revenue at risk = active monthly revenue x segment churn rate x 12. ESTIMATED: assumes the observed churn rate repeats over the next year (ASSUMPTION).</t>
  </si>
  <si>
    <t xml:space="preserve">CLV per active customer = sum over the horizon of [annual gross margin x (1 - churn rate)^(t-1) / (1 + discount)^t]. ESTIMATED, uses ASSUMPTIONS on the Assumptions sheet.</t>
  </si>
  <si>
    <t xml:space="preserve">Break-even save rate = retention cost per target / (churn rate x annual gross margin per active customer). Above this save rate the 12-month gross margin preserved exceeds the cost.</t>
  </si>
  <si>
    <t xml:space="preserve">Tenure band for churned customers is tenure at departure; for active customers it is tenure to date.</t>
  </si>
  <si>
    <t xml:space="preserve">Retention budget scenarios (targets = segments flagged 1 on the Segments sheet)</t>
  </si>
  <si>
    <t xml:space="preserve">Metric</t>
  </si>
  <si>
    <t xml:space="preserve">Target customers (active, in flagged segments)</t>
  </si>
  <si>
    <t xml:space="preserve">Expected churners among targets without a programme (ESTIMATED)</t>
  </si>
  <si>
    <t xml:space="preserve">Customers retained (ESTIMATED)</t>
  </si>
  <si>
    <t xml:space="preserve">Annual revenue preserved (CU, ESTIMATED)</t>
  </si>
  <si>
    <t xml:space="preserve">Gross margin preserved, 12 months (CU, ESTIMATED)</t>
  </si>
  <si>
    <t xml:space="preserve">Retention cost (CU, ASSUMPTION-based)</t>
  </si>
  <si>
    <t xml:space="preserve">Net benefit, 12-month basis (CU, ESTIMATED)</t>
  </si>
  <si>
    <t xml:space="preserve">ROI, 12-month basis (ESTIMATED)</t>
  </si>
  <si>
    <t xml:space="preserve">CLV preserved, 5-year basis (CU, ESTIMATED)</t>
  </si>
  <si>
    <t xml:space="preserve">Net benefit, CLV basis (CU, ESTIMATED)</t>
  </si>
  <si>
    <t xml:space="preserve">ROI, CLV basis (ESTIMATED)</t>
  </si>
  <si>
    <t xml:space="preserve">12-month basis counts one year of gross margin per saved customer (conservative). CLV basis counts the discounted margin over the horizon.</t>
  </si>
  <si>
    <t xml:space="preserve">Sensitivity: 12-month ROI vs save rate and cost per targeted customer</t>
  </si>
  <si>
    <t xml:space="preserve">Target customers</t>
  </si>
  <si>
    <t xml:space="preserve">Gross margin preserved at 100% save, 12 months (CU)</t>
  </si>
  <si>
    <t xml:space="preserve">Save rate \ cost per target (CU)</t>
  </si>
  <si>
    <t xml:space="preserve">Focused sub-segments inside month-to-month, 0-12 months (smaller, higher-churn targets)</t>
  </si>
  <si>
    <t xml:space="preserve">Sub-segments overlap each other, so do not add them together. The scenario below targets the first row only (fiber optic).</t>
  </si>
  <si>
    <t xml:space="preserve">Share of total risk (all 12 segments)</t>
  </si>
  <si>
    <t xml:space="preserve">M2M / 0-12 months / Fiber optic</t>
  </si>
  <si>
    <t xml:space="preserve">M2M / 0-12 months / Electronic check</t>
  </si>
  <si>
    <t xml:space="preserve">M2M / 0-12 months / Not fiber optic</t>
  </si>
  <si>
    <t xml:space="preserve">Scenario on the fiber optic sub-segment</t>
  </si>
  <si>
    <t xml:space="preserve">How to use this workbook</t>
  </si>
  <si>
    <t xml:space="preserve">1. Change blue inputs on Assumptions (margin, discount rate, cost per target, save rates). Everything else recalculates.</t>
  </si>
  <si>
    <t xml:space="preserve">2. Segments: columns B, C, F are SQL outputs (04_customer_segmentation.sql). Re-run the SQL if the data changes.</t>
  </si>
  <si>
    <t xml:space="preserve">3. Scenarios: set column M on Segments to 1 for segments you want to target.</t>
  </si>
  <si>
    <t xml:space="preserve">4. Labels: ASSUMPTION = not in the data. ESTIMATED = calculated using an assumption. Everything else is calculated directly from the dataset.</t>
  </si>
  <si>
    <t xml:space="preserve">5. Currency is not stated in the dataset. Figures are in currency units (CU).</t>
  </si>
  <si>
    <t xml:space="preserve">6. Association is not causation: segment churn rates describe what was observed, not what a programme will achieve.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</si>
</sst>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(0.0%\);\-"/>
    <numFmt numFmtId="166" formatCode="0"/>
    <numFmt numFmtId="167" formatCode="#,##0;\(#,##0\);\-"/>
    <numFmt numFmtId="168" formatCode="#,##0.00"/>
    <numFmt numFmtId="169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0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2" t="s">
        <v>2</v>
      </c>
      <c r="B4" s="3" t="n">
        <v>0.4</v>
      </c>
      <c r="C4" s="2" t="s">
        <v>3</v>
      </c>
    </row>
    <row r="5" customFormat="false" ht="15" hidden="false" customHeight="false" outlineLevel="0" collapsed="false">
      <c r="A5" s="2" t="s">
        <v>4</v>
      </c>
      <c r="B5" s="3" t="n">
        <v>0.1</v>
      </c>
      <c r="C5" s="2" t="s">
        <v>5</v>
      </c>
    </row>
    <row r="6" customFormat="false" ht="15" hidden="false" customHeight="false" outlineLevel="0" collapsed="false">
      <c r="A6" s="2" t="s">
        <v>6</v>
      </c>
      <c r="B6" s="4" t="n">
        <v>5</v>
      </c>
      <c r="C6" s="2" t="s">
        <v>7</v>
      </c>
    </row>
    <row r="7" customFormat="false" ht="15" hidden="false" customHeight="false" outlineLevel="0" collapsed="false">
      <c r="A7" s="2" t="s">
        <v>8</v>
      </c>
      <c r="B7" s="5" t="n">
        <v>30</v>
      </c>
      <c r="C7" s="2" t="s">
        <v>9</v>
      </c>
    </row>
    <row r="8" customFormat="false" ht="15" hidden="false" customHeight="false" outlineLevel="0" collapsed="false">
      <c r="A8" s="2" t="s">
        <v>10</v>
      </c>
      <c r="B8" s="6" t="n">
        <v>12</v>
      </c>
      <c r="C8" s="2" t="s">
        <v>11</v>
      </c>
    </row>
    <row r="9" customFormat="false" ht="15" hidden="false" customHeight="false" outlineLevel="0" collapsed="false">
      <c r="A9" s="2" t="s">
        <v>12</v>
      </c>
      <c r="B9" s="6" t="n">
        <v>100</v>
      </c>
      <c r="C9" s="2" t="s">
        <v>13</v>
      </c>
    </row>
    <row r="10" customFormat="false" ht="15" hidden="false" customHeight="false" outlineLevel="0" collapsed="false">
      <c r="A10" s="2" t="s">
        <v>14</v>
      </c>
      <c r="B10" s="7" t="n">
        <v>0.1</v>
      </c>
      <c r="C10" s="2" t="s">
        <v>15</v>
      </c>
    </row>
    <row r="11" customFormat="false" ht="54.75" hidden="false" customHeight="true" outlineLevel="0" collapsed="false">
      <c r="A11" s="8" t="s">
        <v>16</v>
      </c>
      <c r="B11" s="9" t="s">
        <v>17</v>
      </c>
      <c r="C11" s="9"/>
    </row>
    <row r="13" customFormat="false" ht="15" hidden="false" customHeight="false" outlineLevel="0" collapsed="false">
      <c r="A13" s="10" t="s">
        <v>18</v>
      </c>
      <c r="B13" s="10" t="s">
        <v>19</v>
      </c>
    </row>
    <row r="14" customFormat="false" ht="15" hidden="false" customHeight="false" outlineLevel="0" collapsed="false">
      <c r="A14" s="2" t="s">
        <v>20</v>
      </c>
      <c r="B14" s="3" t="n">
        <v>0.1</v>
      </c>
      <c r="C14" s="2" t="s">
        <v>21</v>
      </c>
    </row>
    <row r="15" customFormat="false" ht="15" hidden="false" customHeight="false" outlineLevel="0" collapsed="false">
      <c r="A15" s="2" t="s">
        <v>22</v>
      </c>
      <c r="B15" s="3" t="n">
        <v>0.2</v>
      </c>
    </row>
    <row r="16" customFormat="false" ht="15" hidden="false" customHeight="false" outlineLevel="0" collapsed="false">
      <c r="A16" s="2" t="s">
        <v>23</v>
      </c>
      <c r="B16" s="3" t="n">
        <v>0.3</v>
      </c>
    </row>
  </sheetData>
  <mergeCells count="1">
    <mergeCell ref="B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4" min="2" style="0" width="17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61.5" hidden="false" customHeight="true" outlineLevel="0" collapsed="false">
      <c r="A4" s="11" t="s">
        <v>26</v>
      </c>
      <c r="B4" s="11" t="s">
        <v>27</v>
      </c>
      <c r="C4" s="11" t="s">
        <v>28</v>
      </c>
      <c r="D4" s="11" t="s">
        <v>29</v>
      </c>
      <c r="E4" s="11" t="s">
        <v>30</v>
      </c>
      <c r="F4" s="11" t="s">
        <v>31</v>
      </c>
      <c r="G4" s="11" t="s">
        <v>32</v>
      </c>
      <c r="H4" s="11" t="s">
        <v>33</v>
      </c>
      <c r="I4" s="11" t="s">
        <v>34</v>
      </c>
      <c r="J4" s="11" t="s">
        <v>35</v>
      </c>
      <c r="K4" s="11" t="s">
        <v>36</v>
      </c>
      <c r="L4" s="11" t="s">
        <v>37</v>
      </c>
      <c r="M4" s="11" t="s">
        <v>38</v>
      </c>
      <c r="N4" s="11" t="s">
        <v>39</v>
      </c>
    </row>
    <row r="5" customFormat="false" ht="15" hidden="false" customHeight="false" outlineLevel="0" collapsed="false">
      <c r="A5" s="12" t="s">
        <v>40</v>
      </c>
      <c r="B5" s="13" t="n">
        <v>1994</v>
      </c>
      <c r="C5" s="13" t="n">
        <v>1024</v>
      </c>
      <c r="D5" s="14" t="n">
        <f aca="false">B5-C5</f>
        <v>970</v>
      </c>
      <c r="E5" s="15" t="n">
        <f aca="false">IF(B5=0,0,C5/B5)</f>
        <v>0.513540621865597</v>
      </c>
      <c r="F5" s="13" t="n">
        <v>47785.05</v>
      </c>
      <c r="G5" s="16" t="n">
        <f aca="false">IF(D5=0,0,F5/D5)</f>
        <v>49.2629381443299</v>
      </c>
      <c r="H5" s="14" t="n">
        <f aca="false">F5*E5*Assumptions!$B$8</f>
        <v>294474.771514544</v>
      </c>
      <c r="I5" s="15" t="n">
        <f aca="false">IF($H$17=0,0,H5/$H$17)</f>
        <v>0.371191694073545</v>
      </c>
      <c r="J5" s="16" t="n">
        <f aca="false">G5*Assumptions!$B$8*Assumptions!$B$4</f>
        <v>236.462103092784</v>
      </c>
      <c r="K5" s="14" t="n">
        <f aca="false">IF(D5=0,0,J5/(1+Assumptions!$B$5)*(1-((1-E5)/(1+Assumptions!$B$5))^Assumptions!$B$6)/(1-((1-E5)/(1+Assumptions!$B$5))))</f>
        <v>378.886681015856</v>
      </c>
      <c r="L5" s="15" t="n">
        <f aca="false">IF(E5*J5=0,"n/a",Assumptions!$B$7/(E5*J5))</f>
        <v>0.24705002613919</v>
      </c>
      <c r="M5" s="17" t="n">
        <v>1</v>
      </c>
      <c r="N5" s="12" t="str">
        <f aca="false">IF(B5&lt;Assumptions!$B$9,"Too small to act on",IF(AND(E5&gt;$E$17,I5&gt;=Assumptions!$B$10),"Priority 1",IF(E5&gt;$E$17,"Priority 2","Monitor")))</f>
        <v>Priority 1</v>
      </c>
    </row>
    <row r="6" customFormat="false" ht="15" hidden="false" customHeight="false" outlineLevel="0" collapsed="false">
      <c r="A6" s="12" t="s">
        <v>41</v>
      </c>
      <c r="B6" s="13" t="n">
        <v>737</v>
      </c>
      <c r="C6" s="13" t="n">
        <v>278</v>
      </c>
      <c r="D6" s="14" t="n">
        <f aca="false">B6-C6</f>
        <v>459</v>
      </c>
      <c r="E6" s="15" t="n">
        <f aca="false">IF(B6=0,0,C6/B6)</f>
        <v>0.377204884667571</v>
      </c>
      <c r="F6" s="13" t="n">
        <v>29100.85</v>
      </c>
      <c r="G6" s="16" t="n">
        <f aca="false">IF(D6=0,0,F6/D6)</f>
        <v>63.4005446623094</v>
      </c>
      <c r="H6" s="14" t="n">
        <f aca="false">F6*E6*Assumptions!$B$8</f>
        <v>131723.793215739</v>
      </c>
      <c r="I6" s="15" t="n">
        <f aca="false">IF($H$17=0,0,H6/$H$17)</f>
        <v>0.166040634659696</v>
      </c>
      <c r="J6" s="16" t="n">
        <f aca="false">G6*Assumptions!$B$8*Assumptions!$B$4</f>
        <v>304.322614379085</v>
      </c>
      <c r="K6" s="14" t="n">
        <f aca="false">IF(D6=0,0,J6/(1+Assumptions!$B$5)*(1-((1-E6)/(1+Assumptions!$B$5))^Assumptions!$B$6)/(1-((1-E6)/(1+Assumptions!$B$5))))</f>
        <v>600.617446763381</v>
      </c>
      <c r="L6" s="15" t="n">
        <f aca="false">IF(E6*J6=0,"n/a",Assumptions!$B$7/(E6*J6))</f>
        <v>0.261342306956027</v>
      </c>
      <c r="M6" s="17" t="n">
        <v>1</v>
      </c>
      <c r="N6" s="12" t="str">
        <f aca="false">IF(B6&lt;Assumptions!$B$9,"Too small to act on",IF(AND(E6&gt;$E$17,I6&gt;=Assumptions!$B$10),"Priority 1",IF(E6&gt;$E$17,"Priority 2","Monitor")))</f>
        <v>Priority 1</v>
      </c>
    </row>
    <row r="7" customFormat="false" ht="15" hidden="false" customHeight="false" outlineLevel="0" collapsed="false">
      <c r="A7" s="12" t="s">
        <v>42</v>
      </c>
      <c r="B7" s="13" t="n">
        <v>802</v>
      </c>
      <c r="C7" s="13" t="n">
        <v>264</v>
      </c>
      <c r="D7" s="14" t="n">
        <f aca="false">B7-C7</f>
        <v>538</v>
      </c>
      <c r="E7" s="15" t="n">
        <f aca="false">IF(B7=0,0,C7/B7)</f>
        <v>0.329177057356608</v>
      </c>
      <c r="F7" s="13" t="n">
        <v>38347.05</v>
      </c>
      <c r="G7" s="16" t="n">
        <f aca="false">IF(D7=0,0,F7/D7)</f>
        <v>71.2770446096654</v>
      </c>
      <c r="H7" s="14" t="n">
        <f aca="false">F7*E7*Assumptions!$B$8</f>
        <v>151475.628927681</v>
      </c>
      <c r="I7" s="15" t="n">
        <f aca="false">IF($H$17=0,0,H7/$H$17)</f>
        <v>0.190938242428501</v>
      </c>
      <c r="J7" s="16" t="n">
        <f aca="false">G7*Assumptions!$B$8*Assumptions!$B$4</f>
        <v>342.129814126394</v>
      </c>
      <c r="K7" s="14" t="n">
        <f aca="false">IF(D7=0,0,J7/(1+Assumptions!$B$5)*(1-((1-E7)/(1+Assumptions!$B$5))^Assumptions!$B$6)/(1-((1-E7)/(1+Assumptions!$B$5))))</f>
        <v>729.935944539794</v>
      </c>
      <c r="L7" s="15" t="n">
        <f aca="false">IF(E7*J7=0,"n/a",Assumptions!$B$7/(E7*J7))</f>
        <v>0.266379484842835</v>
      </c>
      <c r="M7" s="17" t="n">
        <v>1</v>
      </c>
      <c r="N7" s="12" t="str">
        <f aca="false">IF(B7&lt;Assumptions!$B$9,"Too small to act on",IF(AND(E7&gt;$E$17,I7&gt;=Assumptions!$B$10),"Priority 1",IF(E7&gt;$E$17,"Priority 2","Monitor")))</f>
        <v>Priority 1</v>
      </c>
    </row>
    <row r="8" customFormat="false" ht="15" hidden="false" customHeight="false" outlineLevel="0" collapsed="false">
      <c r="A8" s="12" t="s">
        <v>43</v>
      </c>
      <c r="B8" s="13" t="n">
        <v>342</v>
      </c>
      <c r="C8" s="13" t="n">
        <v>89</v>
      </c>
      <c r="D8" s="14" t="n">
        <f aca="false">B8-C8</f>
        <v>253</v>
      </c>
      <c r="E8" s="15" t="n">
        <f aca="false">IF(B8=0,0,C8/B8)</f>
        <v>0.260233918128655</v>
      </c>
      <c r="F8" s="13" t="n">
        <v>21214.1</v>
      </c>
      <c r="G8" s="16" t="n">
        <f aca="false">IF(D8=0,0,F8/D8)</f>
        <v>83.8501976284585</v>
      </c>
      <c r="H8" s="14" t="n">
        <f aca="false">F8*E8*Assumptions!$B$8</f>
        <v>66247.5403508772</v>
      </c>
      <c r="I8" s="15" t="n">
        <f aca="false">IF($H$17=0,0,H8/$H$17)</f>
        <v>0.083506429445801</v>
      </c>
      <c r="J8" s="16" t="n">
        <f aca="false">G8*Assumptions!$B$8*Assumptions!$B$4</f>
        <v>402.480948616601</v>
      </c>
      <c r="K8" s="14" t="n">
        <f aca="false">IF(D8=0,0,J8/(1+Assumptions!$B$5)*(1-((1-E8)/(1+Assumptions!$B$5))^Assumptions!$B$6)/(1-((1-E8)/(1+Assumptions!$B$5))))</f>
        <v>963.578248892315</v>
      </c>
      <c r="L8" s="15" t="n">
        <f aca="false">IF(E8*J8=0,"n/a",Assumptions!$B$7/(E8*J8))</f>
        <v>0.286425728404402</v>
      </c>
      <c r="M8" s="17" t="n">
        <v>0</v>
      </c>
      <c r="N8" s="12" t="str">
        <f aca="false">IF(B8&lt;Assumptions!$B$9,"Too small to act on",IF(AND(E8&gt;$E$17,I8&gt;=Assumptions!$B$10),"Priority 1",IF(E8&gt;$E$17,"Priority 2","Monitor")))</f>
        <v>Monitor</v>
      </c>
    </row>
    <row r="9" customFormat="false" ht="15" hidden="false" customHeight="false" outlineLevel="0" collapsed="false">
      <c r="A9" s="12" t="s">
        <v>44</v>
      </c>
      <c r="B9" s="13" t="n">
        <v>124</v>
      </c>
      <c r="C9" s="13" t="n">
        <v>13</v>
      </c>
      <c r="D9" s="14" t="n">
        <f aca="false">B9-C9</f>
        <v>111</v>
      </c>
      <c r="E9" s="15" t="n">
        <f aca="false">IF(B9=0,0,C9/B9)</f>
        <v>0.104838709677419</v>
      </c>
      <c r="F9" s="13" t="n">
        <v>3786.1</v>
      </c>
      <c r="G9" s="16" t="n">
        <f aca="false">IF(D9=0,0,F9/D9)</f>
        <v>34.109009009009</v>
      </c>
      <c r="H9" s="14" t="n">
        <f aca="false">F9*E9*Assumptions!$B$8</f>
        <v>4763.15806451613</v>
      </c>
      <c r="I9" s="15" t="n">
        <f aca="false">IF($H$17=0,0,H9/$H$17)</f>
        <v>0.00600406174700262</v>
      </c>
      <c r="J9" s="16" t="n">
        <f aca="false">G9*Assumptions!$B$8*Assumptions!$B$4</f>
        <v>163.723243243243</v>
      </c>
      <c r="K9" s="14" t="n">
        <f aca="false">IF(D9=0,0,J9/(1+Assumptions!$B$5)*(1-((1-E9)/(1+Assumptions!$B$5))^Assumptions!$B$6)/(1-((1-E9)/(1+Assumptions!$B$5))))</f>
        <v>514.018515169102</v>
      </c>
      <c r="L9" s="15" t="n">
        <f aca="false">IF(E9*J9=0,"n/a",Assumptions!$B$7/(E9*J9))</f>
        <v>1.74778999294992</v>
      </c>
      <c r="M9" s="17" t="n">
        <v>0</v>
      </c>
      <c r="N9" s="12" t="str">
        <f aca="false">IF(B9&lt;Assumptions!$B$9,"Too small to act on",IF(AND(E9&gt;$E$17,I9&gt;=Assumptions!$B$10),"Priority 1",IF(E9&gt;$E$17,"Priority 2","Monitor")))</f>
        <v>Monitor</v>
      </c>
    </row>
    <row r="10" customFormat="false" ht="15" hidden="false" customHeight="false" outlineLevel="0" collapsed="false">
      <c r="A10" s="12" t="s">
        <v>45</v>
      </c>
      <c r="B10" s="13" t="n">
        <v>197</v>
      </c>
      <c r="C10" s="13" t="n">
        <v>16</v>
      </c>
      <c r="D10" s="14" t="n">
        <f aca="false">B10-C10</f>
        <v>181</v>
      </c>
      <c r="E10" s="15" t="n">
        <f aca="false">IF(B10=0,0,C10/B10)</f>
        <v>0.0812182741116751</v>
      </c>
      <c r="F10" s="13" t="n">
        <v>7739.75</v>
      </c>
      <c r="G10" s="16" t="n">
        <f aca="false">IF(D10=0,0,F10/D10)</f>
        <v>42.7610497237569</v>
      </c>
      <c r="H10" s="14" t="n">
        <f aca="false">F10*E10*Assumptions!$B$8</f>
        <v>7543.30964467005</v>
      </c>
      <c r="I10" s="15" t="n">
        <f aca="false">IF($H$17=0,0,H10/$H$17)</f>
        <v>0.009508501769185</v>
      </c>
      <c r="J10" s="16" t="n">
        <f aca="false">G10*Assumptions!$B$8*Assumptions!$B$4</f>
        <v>205.253038674033</v>
      </c>
      <c r="K10" s="14" t="n">
        <f aca="false">IF(D10=0,0,J10/(1+Assumptions!$B$5)*(1-((1-E10)/(1+Assumptions!$B$5))^Assumptions!$B$6)/(1-((1-E10)/(1+Assumptions!$B$5))))</f>
        <v>672.17515945543</v>
      </c>
      <c r="L10" s="15" t="n">
        <f aca="false">IF(E10*J10=0,"n/a",Assumptions!$B$7/(E10*J10))</f>
        <v>1.79960794922317</v>
      </c>
      <c r="M10" s="17" t="n">
        <v>0</v>
      </c>
      <c r="N10" s="12" t="str">
        <f aca="false">IF(B10&lt;Assumptions!$B$9,"Too small to act on",IF(AND(E10&gt;$E$17,I10&gt;=Assumptions!$B$10),"Priority 1",IF(E10&gt;$E$17,"Priority 2","Monitor")))</f>
        <v>Monitor</v>
      </c>
    </row>
    <row r="11" customFormat="false" ht="15" hidden="false" customHeight="false" outlineLevel="0" collapsed="false">
      <c r="A11" s="12" t="s">
        <v>46</v>
      </c>
      <c r="B11" s="13" t="n">
        <v>518</v>
      </c>
      <c r="C11" s="13" t="n">
        <v>55</v>
      </c>
      <c r="D11" s="14" t="n">
        <f aca="false">B11-C11</f>
        <v>463</v>
      </c>
      <c r="E11" s="15" t="n">
        <f aca="false">IF(B11=0,0,C11/B11)</f>
        <v>0.106177606177606</v>
      </c>
      <c r="F11" s="13" t="n">
        <v>27571.95</v>
      </c>
      <c r="G11" s="16" t="n">
        <f aca="false">IF(D11=0,0,F11/D11)</f>
        <v>59.5506479481642</v>
      </c>
      <c r="H11" s="14" t="n">
        <f aca="false">F11*E11*Assumptions!$B$8</f>
        <v>35130.2837837838</v>
      </c>
      <c r="I11" s="15" t="n">
        <f aca="false">IF($H$17=0,0,H11/$H$17)</f>
        <v>0.0442824676759892</v>
      </c>
      <c r="J11" s="16" t="n">
        <f aca="false">G11*Assumptions!$B$8*Assumptions!$B$4</f>
        <v>285.843110151188</v>
      </c>
      <c r="K11" s="14" t="n">
        <f aca="false">IF(D11=0,0,J11/(1+Assumptions!$B$5)*(1-((1-E11)/(1+Assumptions!$B$5))^Assumptions!$B$6)/(1-((1-E11)/(1+Assumptions!$B$5))))</f>
        <v>895.282399295473</v>
      </c>
      <c r="L11" s="15" t="n">
        <f aca="false">IF(E11*J11=0,"n/a",Assumptions!$B$7/(E11*J11))</f>
        <v>0.988463407062744</v>
      </c>
      <c r="M11" s="17" t="n">
        <v>0</v>
      </c>
      <c r="N11" s="12" t="str">
        <f aca="false">IF(B11&lt;Assumptions!$B$9,"Too small to act on",IF(AND(E11&gt;$E$17,I11&gt;=Assumptions!$B$10),"Priority 1",IF(E11&gt;$E$17,"Priority 2","Monitor")))</f>
        <v>Monitor</v>
      </c>
    </row>
    <row r="12" customFormat="false" ht="15" hidden="false" customHeight="false" outlineLevel="0" collapsed="false">
      <c r="A12" s="12" t="s">
        <v>47</v>
      </c>
      <c r="B12" s="13" t="n">
        <v>634</v>
      </c>
      <c r="C12" s="13" t="n">
        <v>82</v>
      </c>
      <c r="D12" s="14" t="n">
        <f aca="false">B12-C12</f>
        <v>552</v>
      </c>
      <c r="E12" s="15" t="n">
        <f aca="false">IF(B12=0,0,C12/B12)</f>
        <v>0.129337539432177</v>
      </c>
      <c r="F12" s="13" t="n">
        <v>42600.35</v>
      </c>
      <c r="G12" s="16" t="n">
        <f aca="false">IF(D12=0,0,F12/D12)</f>
        <v>77.1745471014493</v>
      </c>
      <c r="H12" s="14" t="n">
        <f aca="false">F12*E12*Assumptions!$B$8</f>
        <v>66117.8933753943</v>
      </c>
      <c r="I12" s="15" t="n">
        <f aca="false">IF($H$17=0,0,H12/$H$17)</f>
        <v>0.0833430066839343</v>
      </c>
      <c r="J12" s="16" t="n">
        <f aca="false">G12*Assumptions!$B$8*Assumptions!$B$4</f>
        <v>370.437826086957</v>
      </c>
      <c r="K12" s="14" t="n">
        <f aca="false">IF(D12=0,0,J12/(1+Assumptions!$B$5)*(1-((1-E12)/(1+Assumptions!$B$5))^Assumptions!$B$6)/(1-((1-E12)/(1+Assumptions!$B$5))))</f>
        <v>1113.4571459867</v>
      </c>
      <c r="L12" s="15" t="n">
        <f aca="false">IF(E12*J12=0,"n/a",Assumptions!$B$7/(E12*J12))</f>
        <v>0.626154250936963</v>
      </c>
      <c r="M12" s="17" t="n">
        <v>0</v>
      </c>
      <c r="N12" s="12" t="str">
        <f aca="false">IF(B12&lt;Assumptions!$B$9,"Too small to act on",IF(AND(E12&gt;$E$17,I12&gt;=Assumptions!$B$10),"Priority 1",IF(E12&gt;$E$17,"Priority 2","Monitor")))</f>
        <v>Monitor</v>
      </c>
    </row>
    <row r="13" customFormat="false" ht="15" hidden="false" customHeight="false" outlineLevel="0" collapsed="false">
      <c r="A13" s="12" t="s">
        <v>48</v>
      </c>
      <c r="B13" s="13" t="n">
        <v>68</v>
      </c>
      <c r="C13" s="13" t="n">
        <v>0</v>
      </c>
      <c r="D13" s="14" t="n">
        <f aca="false">B13-C13</f>
        <v>68</v>
      </c>
      <c r="E13" s="15" t="n">
        <f aca="false">IF(B13=0,0,C13/B13)</f>
        <v>0</v>
      </c>
      <c r="F13" s="13" t="n">
        <v>2104.35</v>
      </c>
      <c r="G13" s="16" t="n">
        <f aca="false">IF(D13=0,0,F13/D13)</f>
        <v>30.9463235294118</v>
      </c>
      <c r="H13" s="14" t="n">
        <f aca="false">F13*E13*Assumptions!$B$8</f>
        <v>0</v>
      </c>
      <c r="I13" s="15" t="n">
        <f aca="false">IF($H$17=0,0,H13/$H$17)</f>
        <v>0</v>
      </c>
      <c r="J13" s="16" t="n">
        <f aca="false">G13*Assumptions!$B$8*Assumptions!$B$4</f>
        <v>148.542352941177</v>
      </c>
      <c r="K13" s="14" t="n">
        <f aca="false">IF(D13=0,0,J13/(1+Assumptions!$B$5)*(1-((1-E13)/(1+Assumptions!$B$5))^Assumptions!$B$6)/(1-((1-E13)/(1+Assumptions!$B$5))))</f>
        <v>563.092386226212</v>
      </c>
      <c r="L13" s="15" t="str">
        <f aca="false">IF(E13*J13=0,"n/a",Assumptions!$B$7/(E13*J13))</f>
        <v>n/a</v>
      </c>
      <c r="M13" s="17" t="n">
        <v>0</v>
      </c>
      <c r="N13" s="12" t="str">
        <f aca="false">IF(B13&lt;Assumptions!$B$9,"Too small to act on",IF(AND(E13&gt;$E$17,I13&gt;=Assumptions!$B$10),"Priority 1",IF(E13&gt;$E$17,"Priority 2","Monitor")))</f>
        <v>Too small to act on</v>
      </c>
    </row>
    <row r="14" customFormat="false" ht="15" hidden="false" customHeight="false" outlineLevel="0" collapsed="false">
      <c r="A14" s="12" t="s">
        <v>49</v>
      </c>
      <c r="B14" s="13" t="n">
        <v>90</v>
      </c>
      <c r="C14" s="13" t="n">
        <v>0</v>
      </c>
      <c r="D14" s="14" t="n">
        <f aca="false">B14-C14</f>
        <v>90</v>
      </c>
      <c r="E14" s="15" t="n">
        <f aca="false">IF(B14=0,0,C14/B14)</f>
        <v>0</v>
      </c>
      <c r="F14" s="13" t="n">
        <v>2907.6</v>
      </c>
      <c r="G14" s="16" t="n">
        <f aca="false">IF(D14=0,0,F14/D14)</f>
        <v>32.3066666666667</v>
      </c>
      <c r="H14" s="14" t="n">
        <f aca="false">F14*E14*Assumptions!$B$8</f>
        <v>0</v>
      </c>
      <c r="I14" s="15" t="n">
        <f aca="false">IF($H$17=0,0,H14/$H$17)</f>
        <v>0</v>
      </c>
      <c r="J14" s="16" t="n">
        <f aca="false">G14*Assumptions!$B$8*Assumptions!$B$4</f>
        <v>155.072</v>
      </c>
      <c r="K14" s="14" t="n">
        <f aca="false">IF(D14=0,0,J14/(1+Assumptions!$B$5)*(1-((1-E14)/(1+Assumptions!$B$5))^Assumptions!$B$6)/(1-((1-E14)/(1+Assumptions!$B$5))))</f>
        <v>587.844885905707</v>
      </c>
      <c r="L14" s="15" t="str">
        <f aca="false">IF(E14*J14=0,"n/a",Assumptions!$B$7/(E14*J14))</f>
        <v>n/a</v>
      </c>
      <c r="M14" s="17" t="n">
        <v>0</v>
      </c>
      <c r="N14" s="12" t="str">
        <f aca="false">IF(B14&lt;Assumptions!$B$9,"Too small to act on",IF(AND(E14&gt;$E$17,I14&gt;=Assumptions!$B$10),"Priority 1",IF(E14&gt;$E$17,"Priority 2","Monitor")))</f>
        <v>Too small to act on</v>
      </c>
    </row>
    <row r="15" customFormat="false" ht="15" hidden="false" customHeight="false" outlineLevel="0" collapsed="false">
      <c r="A15" s="12" t="s">
        <v>50</v>
      </c>
      <c r="B15" s="13" t="n">
        <v>274</v>
      </c>
      <c r="C15" s="13" t="n">
        <v>6</v>
      </c>
      <c r="D15" s="14" t="n">
        <f aca="false">B15-C15</f>
        <v>268</v>
      </c>
      <c r="E15" s="15" t="n">
        <f aca="false">IF(B15=0,0,C15/B15)</f>
        <v>0.0218978102189781</v>
      </c>
      <c r="F15" s="13" t="n">
        <v>11711.8</v>
      </c>
      <c r="G15" s="16" t="n">
        <f aca="false">IF(D15=0,0,F15/D15)</f>
        <v>43.7007462686567</v>
      </c>
      <c r="H15" s="14" t="n">
        <f aca="false">F15*E15*Assumptions!$B$8</f>
        <v>3077.55328467153</v>
      </c>
      <c r="I15" s="15" t="n">
        <f aca="false">IF($H$17=0,0,H15/$H$17)</f>
        <v>0.0038793211773743</v>
      </c>
      <c r="J15" s="16" t="n">
        <f aca="false">G15*Assumptions!$B$8*Assumptions!$B$4</f>
        <v>209.763582089552</v>
      </c>
      <c r="K15" s="14" t="n">
        <f aca="false">IF(D15=0,0,J15/(1+Assumptions!$B$5)*(1-((1-E15)/(1+Assumptions!$B$5))^Assumptions!$B$6)/(1-((1-E15)/(1+Assumptions!$B$5))))</f>
        <v>764.29972394562</v>
      </c>
      <c r="L15" s="15" t="n">
        <f aca="false">IF(E15*J15=0,"n/a",Assumptions!$B$7/(E15*J15))</f>
        <v>6.53116230354571</v>
      </c>
      <c r="M15" s="17" t="n">
        <v>0</v>
      </c>
      <c r="N15" s="12" t="str">
        <f aca="false">IF(B15&lt;Assumptions!$B$9,"Too small to act on",IF(AND(E15&gt;$E$17,I15&gt;=Assumptions!$B$10),"Priority 1",IF(E15&gt;$E$17,"Priority 2","Monitor")))</f>
        <v>Monitor</v>
      </c>
    </row>
    <row r="16" customFormat="false" ht="15" hidden="false" customHeight="false" outlineLevel="0" collapsed="false">
      <c r="A16" s="12" t="s">
        <v>51</v>
      </c>
      <c r="B16" s="13" t="n">
        <v>1263</v>
      </c>
      <c r="C16" s="13" t="n">
        <v>42</v>
      </c>
      <c r="D16" s="14" t="n">
        <f aca="false">B16-C16</f>
        <v>1221</v>
      </c>
      <c r="E16" s="15" t="n">
        <f aca="false">IF(B16=0,0,C16/B16)</f>
        <v>0.0332541567695962</v>
      </c>
      <c r="F16" s="13" t="n">
        <v>82116.8</v>
      </c>
      <c r="G16" s="16" t="n">
        <f aca="false">IF(D16=0,0,F16/D16)</f>
        <v>67.2537264537265</v>
      </c>
      <c r="H16" s="14" t="n">
        <f aca="false">F16*E16*Assumptions!$B$8</f>
        <v>32768.6992874109</v>
      </c>
      <c r="I16" s="15" t="n">
        <f aca="false">IF($H$17=0,0,H16/$H$17)</f>
        <v>0.0413056403389718</v>
      </c>
      <c r="J16" s="16" t="n">
        <f aca="false">G16*Assumptions!$B$8*Assumptions!$B$4</f>
        <v>322.817886977887</v>
      </c>
      <c r="K16" s="14" t="n">
        <f aca="false">IF(D16=0,0,J16/(1+Assumptions!$B$5)*(1-((1-E16)/(1+Assumptions!$B$5))^Assumptions!$B$6)/(1-((1-E16)/(1+Assumptions!$B$5))))</f>
        <v>1152.3643762968</v>
      </c>
      <c r="L16" s="15" t="n">
        <f aca="false">IF(E16*J16=0,"n/a",Assumptions!$B$7/(E16*J16))</f>
        <v>2.79458757873802</v>
      </c>
      <c r="M16" s="17" t="n">
        <v>0</v>
      </c>
      <c r="N16" s="12" t="str">
        <f aca="false">IF(B16&lt;Assumptions!$B$9,"Too small to act on",IF(AND(E16&gt;$E$17,I16&gt;=Assumptions!$B$10),"Priority 1",IF(E16&gt;$E$17,"Priority 2","Monitor")))</f>
        <v>Monitor</v>
      </c>
    </row>
    <row r="17" customFormat="false" ht="15" hidden="false" customHeight="false" outlineLevel="0" collapsed="false">
      <c r="A17" s="8" t="s">
        <v>52</v>
      </c>
      <c r="B17" s="18" t="n">
        <f aca="false">SUM(B5:B16)</f>
        <v>7043</v>
      </c>
      <c r="C17" s="18" t="n">
        <f aca="false">SUM(C5:C16)</f>
        <v>1869</v>
      </c>
      <c r="D17" s="18" t="n">
        <f aca="false">SUM(D5:D16)</f>
        <v>5174</v>
      </c>
      <c r="E17" s="19" t="n">
        <f aca="false">C17/B17</f>
        <v>0.265369870793696</v>
      </c>
      <c r="F17" s="18" t="n">
        <f aca="false">SUM(F5:F16)</f>
        <v>316985.75</v>
      </c>
      <c r="H17" s="18" t="n">
        <f aca="false">SUM(H5:H16)</f>
        <v>793322.631449288</v>
      </c>
      <c r="I17" s="19" t="n">
        <f aca="false">SUM(I5:I16)</f>
        <v>1</v>
      </c>
    </row>
    <row r="19" customFormat="false" ht="15" hidden="false" customHeight="false" outlineLevel="0" collapsed="false">
      <c r="A19" s="8" t="s">
        <v>53</v>
      </c>
    </row>
    <row r="20" customFormat="false" ht="15" hidden="false" customHeight="false" outlineLevel="0" collapsed="false">
      <c r="A20" s="2" t="s">
        <v>54</v>
      </c>
    </row>
    <row r="21" customFormat="false" ht="15" hidden="false" customHeight="false" outlineLevel="0" collapsed="false">
      <c r="A21" s="2" t="s">
        <v>55</v>
      </c>
    </row>
    <row r="22" customFormat="false" ht="15" hidden="false" customHeight="false" outlineLevel="0" collapsed="false">
      <c r="A22" s="2" t="s">
        <v>56</v>
      </c>
    </row>
    <row r="23" customFormat="false" ht="15" hidden="false" customHeight="false" outlineLevel="0" collapsed="false">
      <c r="A23" s="2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58</v>
      </c>
    </row>
    <row r="3" customFormat="false" ht="15" hidden="false" customHeight="false" outlineLevel="0" collapsed="false">
      <c r="A3" s="10" t="s">
        <v>59</v>
      </c>
      <c r="B3" s="10" t="s">
        <v>20</v>
      </c>
      <c r="C3" s="10" t="s">
        <v>22</v>
      </c>
      <c r="D3" s="10" t="s">
        <v>23</v>
      </c>
    </row>
    <row r="4" customFormat="false" ht="15" hidden="false" customHeight="false" outlineLevel="0" collapsed="false">
      <c r="A4" s="2" t="s">
        <v>19</v>
      </c>
      <c r="B4" s="20" t="n">
        <f aca="false">Assumptions!$B$14</f>
        <v>0.1</v>
      </c>
      <c r="C4" s="20" t="n">
        <f aca="false">Assumptions!$B$15</f>
        <v>0.2</v>
      </c>
      <c r="D4" s="20" t="n">
        <f aca="false">Assumptions!$B$16</f>
        <v>0.3</v>
      </c>
    </row>
    <row r="5" customFormat="false" ht="15" hidden="false" customHeight="false" outlineLevel="0" collapsed="false">
      <c r="A5" s="2" t="s">
        <v>60</v>
      </c>
      <c r="B5" s="14" t="n">
        <f aca="false">SUMPRODUCT(Segments!$M$5:$M$16,Segments!$D$5:$D$16)</f>
        <v>1967</v>
      </c>
      <c r="C5" s="14" t="n">
        <f aca="false">SUMPRODUCT(Segments!$M$5:$M$16,Segments!$D$5:$D$16)</f>
        <v>1967</v>
      </c>
      <c r="D5" s="14" t="n">
        <f aca="false">SUMPRODUCT(Segments!$M$5:$M$16,Segments!$D$5:$D$16)</f>
        <v>1967</v>
      </c>
    </row>
    <row r="6" customFormat="false" ht="15" hidden="false" customHeight="false" outlineLevel="0" collapsed="false">
      <c r="A6" s="2" t="s">
        <v>61</v>
      </c>
      <c r="B6" s="14" t="n">
        <f aca="false">SUMPRODUCT(Segments!$M$5:$M$16,Segments!$D$5:$D$16,Segments!$E$5:$E$16)</f>
        <v>848.3687021299</v>
      </c>
      <c r="C6" s="14" t="n">
        <f aca="false">SUMPRODUCT(Segments!$M$5:$M$16,Segments!$D$5:$D$16,Segments!$E$5:$E$16)</f>
        <v>848.3687021299</v>
      </c>
      <c r="D6" s="14" t="n">
        <f aca="false">SUMPRODUCT(Segments!$M$5:$M$16,Segments!$D$5:$D$16,Segments!$E$5:$E$16)</f>
        <v>848.3687021299</v>
      </c>
    </row>
    <row r="7" customFormat="false" ht="15" hidden="false" customHeight="false" outlineLevel="0" collapsed="false">
      <c r="A7" s="2" t="s">
        <v>62</v>
      </c>
      <c r="B7" s="14" t="n">
        <f aca="false">B6*B4</f>
        <v>84.83687021299</v>
      </c>
      <c r="C7" s="14" t="n">
        <f aca="false">C6*C4</f>
        <v>169.67374042598</v>
      </c>
      <c r="D7" s="14" t="n">
        <f aca="false">D6*D4</f>
        <v>254.51061063897</v>
      </c>
    </row>
    <row r="8" customFormat="false" ht="15" hidden="false" customHeight="false" outlineLevel="0" collapsed="false">
      <c r="A8" s="2" t="s">
        <v>63</v>
      </c>
      <c r="B8" s="14" t="n">
        <f aca="false">SUMPRODUCT(Segments!$M$5:$M$16,Segments!$D$5:$D$16,Segments!$E$5:$E$16,Segments!$G$5:$G$16)*Assumptions!$B$8*B4</f>
        <v>57767.4193657964</v>
      </c>
      <c r="C8" s="14" t="n">
        <f aca="false">SUMPRODUCT(Segments!$M$5:$M$16,Segments!$D$5:$D$16,Segments!$E$5:$E$16,Segments!$G$5:$G$16)*Assumptions!$B$8*C4</f>
        <v>115534.838731593</v>
      </c>
      <c r="D8" s="14" t="n">
        <f aca="false">SUMPRODUCT(Segments!$M$5:$M$16,Segments!$D$5:$D$16,Segments!$E$5:$E$16,Segments!$G$5:$G$16)*Assumptions!$B$8*D4</f>
        <v>173302.258097389</v>
      </c>
    </row>
    <row r="9" customFormat="false" ht="15" hidden="false" customHeight="false" outlineLevel="0" collapsed="false">
      <c r="A9" s="2" t="s">
        <v>64</v>
      </c>
      <c r="B9" s="14" t="n">
        <f aca="false">B8*Assumptions!$B$4</f>
        <v>23106.9677463186</v>
      </c>
      <c r="C9" s="14" t="n">
        <f aca="false">C8*Assumptions!$B$4</f>
        <v>46213.9354926371</v>
      </c>
      <c r="D9" s="14" t="n">
        <f aca="false">D8*Assumptions!$B$4</f>
        <v>69320.9032389557</v>
      </c>
    </row>
    <row r="10" customFormat="false" ht="15" hidden="false" customHeight="false" outlineLevel="0" collapsed="false">
      <c r="A10" s="2" t="s">
        <v>65</v>
      </c>
      <c r="B10" s="14" t="n">
        <f aca="false">B5*Assumptions!$B$7</f>
        <v>59010</v>
      </c>
      <c r="C10" s="14" t="n">
        <f aca="false">C5*Assumptions!$B$7</f>
        <v>59010</v>
      </c>
      <c r="D10" s="14" t="n">
        <f aca="false">D5*Assumptions!$B$7</f>
        <v>59010</v>
      </c>
    </row>
    <row r="11" customFormat="false" ht="15" hidden="false" customHeight="false" outlineLevel="0" collapsed="false">
      <c r="A11" s="2" t="s">
        <v>66</v>
      </c>
      <c r="B11" s="14" t="n">
        <f aca="false">B9-B10</f>
        <v>-35903.0322536814</v>
      </c>
      <c r="C11" s="14" t="n">
        <f aca="false">C9-C10</f>
        <v>-12796.0645073629</v>
      </c>
      <c r="D11" s="14" t="n">
        <f aca="false">D9-D10</f>
        <v>10310.9032389557</v>
      </c>
    </row>
    <row r="12" customFormat="false" ht="15" hidden="false" customHeight="false" outlineLevel="0" collapsed="false">
      <c r="A12" s="2" t="s">
        <v>67</v>
      </c>
      <c r="B12" s="15" t="n">
        <f aca="false">IF(B10=0,0,B11/B10)</f>
        <v>-0.60842284788479</v>
      </c>
      <c r="C12" s="15" t="n">
        <f aca="false">IF(C10=0,0,C11/C10)</f>
        <v>-0.216845695769579</v>
      </c>
      <c r="D12" s="15" t="n">
        <f aca="false">IF(D10=0,0,D11/D10)</f>
        <v>0.174731456345631</v>
      </c>
    </row>
    <row r="13" customFormat="false" ht="15" hidden="false" customHeight="false" outlineLevel="0" collapsed="false">
      <c r="A13" s="2" t="s">
        <v>68</v>
      </c>
      <c r="B13" s="14" t="n">
        <f aca="false">SUMPRODUCT(Segments!$M$5:$M$16,Segments!$D$5:$D$16,Segments!$E$5:$E$16,Segments!$K$5:$K$16)*B4</f>
        <v>42199.5272335548</v>
      </c>
      <c r="C13" s="14" t="n">
        <f aca="false">SUMPRODUCT(Segments!$M$5:$M$16,Segments!$D$5:$D$16,Segments!$E$5:$E$16,Segments!$K$5:$K$16)*C4</f>
        <v>84399.0544671095</v>
      </c>
      <c r="D13" s="14" t="n">
        <f aca="false">SUMPRODUCT(Segments!$M$5:$M$16,Segments!$D$5:$D$16,Segments!$E$5:$E$16,Segments!$K$5:$K$16)*D4</f>
        <v>126598.581700664</v>
      </c>
    </row>
    <row r="14" customFormat="false" ht="15" hidden="false" customHeight="false" outlineLevel="0" collapsed="false">
      <c r="A14" s="2" t="s">
        <v>69</v>
      </c>
      <c r="B14" s="14" t="n">
        <f aca="false">B13-B10</f>
        <v>-16810.4727664453</v>
      </c>
      <c r="C14" s="14" t="n">
        <f aca="false">C13-C10</f>
        <v>25389.0544671095</v>
      </c>
      <c r="D14" s="14" t="n">
        <f aca="false">D13-D10</f>
        <v>67588.5817006642</v>
      </c>
    </row>
    <row r="15" customFormat="false" ht="15" hidden="false" customHeight="false" outlineLevel="0" collapsed="false">
      <c r="A15" s="2" t="s">
        <v>70</v>
      </c>
      <c r="B15" s="15" t="n">
        <f aca="false">IF(B10=0,0,B14/B10)</f>
        <v>-0.284874983332406</v>
      </c>
      <c r="C15" s="15" t="n">
        <f aca="false">IF(C10=0,0,C14/C10)</f>
        <v>0.430250033335189</v>
      </c>
      <c r="D15" s="15" t="n">
        <f aca="false">IF(D10=0,0,D14/D10)</f>
        <v>1.14537505000278</v>
      </c>
    </row>
    <row r="17" customFormat="false" ht="15" hidden="false" customHeight="false" outlineLevel="0" collapsed="false">
      <c r="A17" s="2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" t="s">
        <v>72</v>
      </c>
    </row>
    <row r="3" customFormat="false" ht="15" hidden="false" customHeight="false" outlineLevel="0" collapsed="false">
      <c r="A3" s="2" t="s">
        <v>73</v>
      </c>
      <c r="B3" s="21" t="n">
        <f aca="false">Scenarios!B5</f>
        <v>1967</v>
      </c>
    </row>
    <row r="4" customFormat="false" ht="15" hidden="false" customHeight="false" outlineLevel="0" collapsed="false">
      <c r="A4" s="2" t="s">
        <v>74</v>
      </c>
      <c r="B4" s="21" t="n">
        <f aca="false">SUMPRODUCT(Segments!$M$5:$M$16,Segments!$D$5:$D$16,Segments!$E$5:$E$16,Segments!$G$5:$G$16)*Assumptions!$B$8*Assumptions!$B$4</f>
        <v>231069.677463186</v>
      </c>
    </row>
    <row r="6" customFormat="false" ht="15" hidden="false" customHeight="false" outlineLevel="0" collapsed="false">
      <c r="A6" s="10" t="s">
        <v>75</v>
      </c>
      <c r="B6" s="22" t="n">
        <v>15</v>
      </c>
      <c r="C6" s="22" t="n">
        <v>30</v>
      </c>
      <c r="D6" s="22" t="n">
        <v>45</v>
      </c>
      <c r="E6" s="22" t="n">
        <v>60</v>
      </c>
    </row>
    <row r="7" customFormat="false" ht="15" hidden="false" customHeight="false" outlineLevel="0" collapsed="false">
      <c r="A7" s="7" t="n">
        <v>0.05</v>
      </c>
      <c r="B7" s="15" t="n">
        <f aca="false">($A7*$B$4-$B$3*B$6)/($B$3*B$6)</f>
        <v>-0.60842284788479</v>
      </c>
      <c r="C7" s="15" t="n">
        <f aca="false">($A7*$B$4-$B$3*C$6)/($B$3*C$6)</f>
        <v>-0.804211423942395</v>
      </c>
      <c r="D7" s="15" t="n">
        <f aca="false">($A7*$B$4-$B$3*D$6)/($B$3*D$6)</f>
        <v>-0.869474282628263</v>
      </c>
      <c r="E7" s="15" t="n">
        <f aca="false">($A7*$B$4-$B$3*E$6)/($B$3*E$6)</f>
        <v>-0.902105711971198</v>
      </c>
    </row>
    <row r="8" customFormat="false" ht="15" hidden="false" customHeight="false" outlineLevel="0" collapsed="false">
      <c r="A8" s="7" t="n">
        <v>0.1</v>
      </c>
      <c r="B8" s="15" t="n">
        <f aca="false">($A8*$B$4-$B$3*B$6)/($B$3*B$6)</f>
        <v>-0.216845695769579</v>
      </c>
      <c r="C8" s="15" t="n">
        <f aca="false">($A8*$B$4-$B$3*C$6)/($B$3*C$6)</f>
        <v>-0.60842284788479</v>
      </c>
      <c r="D8" s="15" t="n">
        <f aca="false">($A8*$B$4-$B$3*D$6)/($B$3*D$6)</f>
        <v>-0.738948565256526</v>
      </c>
      <c r="E8" s="15" t="n">
        <f aca="false">($A8*$B$4-$B$3*E$6)/($B$3*E$6)</f>
        <v>-0.804211423942395</v>
      </c>
    </row>
    <row r="9" customFormat="false" ht="15" hidden="false" customHeight="false" outlineLevel="0" collapsed="false">
      <c r="A9" s="7" t="n">
        <v>0.15</v>
      </c>
      <c r="B9" s="15" t="n">
        <f aca="false">($A9*$B$4-$B$3*B$6)/($B$3*B$6)</f>
        <v>0.174731456345631</v>
      </c>
      <c r="C9" s="15" t="n">
        <f aca="false">($A9*$B$4-$B$3*C$6)/($B$3*C$6)</f>
        <v>-0.412634271827185</v>
      </c>
      <c r="D9" s="15" t="n">
        <f aca="false">($A9*$B$4-$B$3*D$6)/($B$3*D$6)</f>
        <v>-0.60842284788479</v>
      </c>
      <c r="E9" s="15" t="n">
        <f aca="false">($A9*$B$4-$B$3*E$6)/($B$3*E$6)</f>
        <v>-0.706317135913592</v>
      </c>
    </row>
    <row r="10" customFormat="false" ht="15" hidden="false" customHeight="false" outlineLevel="0" collapsed="false">
      <c r="A10" s="7" t="n">
        <v>0.2</v>
      </c>
      <c r="B10" s="15" t="n">
        <f aca="false">($A10*$B$4-$B$3*B$6)/($B$3*B$6)</f>
        <v>0.566308608460842</v>
      </c>
      <c r="C10" s="15" t="n">
        <f aca="false">($A10*$B$4-$B$3*C$6)/($B$3*C$6)</f>
        <v>-0.216845695769579</v>
      </c>
      <c r="D10" s="15" t="n">
        <f aca="false">($A10*$B$4-$B$3*D$6)/($B$3*D$6)</f>
        <v>-0.477897130513053</v>
      </c>
      <c r="E10" s="15" t="n">
        <f aca="false">($A10*$B$4-$B$3*E$6)/($B$3*E$6)</f>
        <v>-0.60842284788479</v>
      </c>
    </row>
    <row r="11" customFormat="false" ht="15" hidden="false" customHeight="false" outlineLevel="0" collapsed="false">
      <c r="A11" s="7" t="n">
        <v>0.25</v>
      </c>
      <c r="B11" s="15" t="n">
        <f aca="false">($A11*$B$4-$B$3*B$6)/($B$3*B$6)</f>
        <v>0.957885760576052</v>
      </c>
      <c r="C11" s="15" t="n">
        <f aca="false">($A11*$B$4-$B$3*C$6)/($B$3*C$6)</f>
        <v>-0.0210571197119741</v>
      </c>
      <c r="D11" s="15" t="n">
        <f aca="false">($A11*$B$4-$B$3*D$6)/($B$3*D$6)</f>
        <v>-0.347371413141316</v>
      </c>
      <c r="E11" s="15" t="n">
        <f aca="false">($A11*$B$4-$B$3*E$6)/($B$3*E$6)</f>
        <v>-0.510528559855987</v>
      </c>
    </row>
    <row r="12" customFormat="false" ht="15" hidden="false" customHeight="false" outlineLevel="0" collapsed="false">
      <c r="A12" s="7" t="n">
        <v>0.3</v>
      </c>
      <c r="B12" s="15" t="n">
        <f aca="false">($A12*$B$4-$B$3*B$6)/($B$3*B$6)</f>
        <v>1.34946291269126</v>
      </c>
      <c r="C12" s="15" t="n">
        <f aca="false">($A12*$B$4-$B$3*C$6)/($B$3*C$6)</f>
        <v>0.174731456345631</v>
      </c>
      <c r="D12" s="15" t="n">
        <f aca="false">($A12*$B$4-$B$3*D$6)/($B$3*D$6)</f>
        <v>-0.216845695769579</v>
      </c>
      <c r="E12" s="15" t="n">
        <f aca="false">($A12*$B$4-$B$3*E$6)/($B$3*E$6)</f>
        <v>-0.412634271827185</v>
      </c>
    </row>
    <row r="13" customFormat="false" ht="15" hidden="false" customHeight="false" outlineLevel="0" collapsed="false">
      <c r="A13" s="7" t="n">
        <v>0.35</v>
      </c>
      <c r="B13" s="15" t="n">
        <f aca="false">($A13*$B$4-$B$3*B$6)/($B$3*B$6)</f>
        <v>1.74104006480647</v>
      </c>
      <c r="C13" s="15" t="n">
        <f aca="false">($A13*$B$4-$B$3*C$6)/($B$3*C$6)</f>
        <v>0.370520032403236</v>
      </c>
      <c r="D13" s="15" t="n">
        <f aca="false">($A13*$B$4-$B$3*D$6)/($B$3*D$6)</f>
        <v>-0.0863199783978427</v>
      </c>
      <c r="E13" s="15" t="n">
        <f aca="false">($A13*$B$4-$B$3*E$6)/($B$3*E$6)</f>
        <v>-0.314739983798382</v>
      </c>
    </row>
    <row r="14" customFormat="false" ht="15" hidden="false" customHeight="false" outlineLevel="0" collapsed="false">
      <c r="A14" s="7" t="n">
        <v>0.4</v>
      </c>
      <c r="B14" s="15" t="n">
        <f aca="false">($A14*$B$4-$B$3*B$6)/($B$3*B$6)</f>
        <v>2.13261721692168</v>
      </c>
      <c r="C14" s="15" t="n">
        <f aca="false">($A14*$B$4-$B$3*C$6)/($B$3*C$6)</f>
        <v>0.566308608460842</v>
      </c>
      <c r="D14" s="15" t="n">
        <f aca="false">($A14*$B$4-$B$3*D$6)/($B$3*D$6)</f>
        <v>0.0442057389738944</v>
      </c>
      <c r="E14" s="15" t="n">
        <f aca="false">($A14*$B$4-$B$3*E$6)/($B$3*E$6)</f>
        <v>-0.216845695769579</v>
      </c>
    </row>
    <row r="16" customFormat="false" ht="15" hidden="false" customHeight="false" outlineLevel="0" collapsed="false">
      <c r="A16" s="8" t="s">
        <v>37</v>
      </c>
      <c r="B16" s="19" t="n">
        <f aca="false">$B$3*B6/$B$4</f>
        <v>0.12768875745153</v>
      </c>
      <c r="C16" s="19" t="n">
        <f aca="false">$B$3*C6/$B$4</f>
        <v>0.25537751490306</v>
      </c>
      <c r="D16" s="19" t="n">
        <f aca="false">$B$3*D6/$B$4</f>
        <v>0.38306627235459</v>
      </c>
      <c r="E16" s="19" t="n">
        <f aca="false">$B$3*E6/$B$4</f>
        <v>0.51075502980612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2" min="2" style="0" width="17"/>
  </cols>
  <sheetData>
    <row r="1" customFormat="false" ht="17.3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4" customFormat="false" ht="61.5" hidden="false" customHeight="true" outlineLevel="0" collapsed="false">
      <c r="A4" s="11" t="s">
        <v>26</v>
      </c>
      <c r="B4" s="11" t="s">
        <v>27</v>
      </c>
      <c r="C4" s="11" t="s">
        <v>28</v>
      </c>
      <c r="D4" s="11" t="s">
        <v>29</v>
      </c>
      <c r="E4" s="11" t="s">
        <v>30</v>
      </c>
      <c r="F4" s="11" t="s">
        <v>31</v>
      </c>
      <c r="G4" s="11" t="s">
        <v>32</v>
      </c>
      <c r="H4" s="11" t="s">
        <v>33</v>
      </c>
      <c r="I4" s="11" t="s">
        <v>78</v>
      </c>
      <c r="J4" s="11" t="s">
        <v>35</v>
      </c>
      <c r="K4" s="11" t="s">
        <v>36</v>
      </c>
      <c r="L4" s="11" t="s">
        <v>37</v>
      </c>
    </row>
    <row r="5" customFormat="false" ht="15" hidden="false" customHeight="false" outlineLevel="0" collapsed="false">
      <c r="A5" s="12" t="s">
        <v>79</v>
      </c>
      <c r="B5" s="13" t="n">
        <v>916</v>
      </c>
      <c r="C5" s="13" t="n">
        <v>643</v>
      </c>
      <c r="D5" s="14" t="n">
        <f aca="false">B5-C5</f>
        <v>273</v>
      </c>
      <c r="E5" s="15" t="n">
        <f aca="false">IF(B5=0,0,C5/B5)</f>
        <v>0.701965065502183</v>
      </c>
      <c r="F5" s="13" t="n">
        <v>22004.85</v>
      </c>
      <c r="G5" s="16" t="n">
        <f aca="false">IF(D5=0,0,F5/D5)</f>
        <v>80.6038461538462</v>
      </c>
      <c r="H5" s="14" t="n">
        <f aca="false">F5*E5*Assumptions!$B$8</f>
        <v>185359.631659389</v>
      </c>
      <c r="I5" s="15" t="n">
        <f aca="false">H5/Segments!$H$17</f>
        <v>0.233649746409935</v>
      </c>
      <c r="J5" s="16" t="n">
        <f aca="false">G5*Assumptions!$B$8*Assumptions!$B$4</f>
        <v>386.898461538462</v>
      </c>
      <c r="K5" s="14" t="n">
        <f aca="false">IF(D5=0,0,J5/(1+Assumptions!$B$5)*(1-((1-E5)/(1+Assumptions!$B$5))^Assumptions!$B$6)/(1-((1-E5)/(1+Assumptions!$B$5))))</f>
        <v>481.733657647814</v>
      </c>
      <c r="L5" s="15" t="n">
        <f aca="false">IF(E5*J5=0,"n/a",Assumptions!$B$7/(E5*J5))</f>
        <v>0.110460944579477</v>
      </c>
      <c r="M5" s="17"/>
      <c r="N5" s="12"/>
    </row>
    <row r="6" customFormat="false" ht="15" hidden="false" customHeight="false" outlineLevel="0" collapsed="false">
      <c r="A6" s="12" t="s">
        <v>80</v>
      </c>
      <c r="B6" s="13" t="n">
        <v>954</v>
      </c>
      <c r="C6" s="13" t="n">
        <v>602</v>
      </c>
      <c r="D6" s="14" t="n">
        <f aca="false">B6-C6</f>
        <v>352</v>
      </c>
      <c r="E6" s="15" t="n">
        <f aca="false">IF(B6=0,0,C6/B6)</f>
        <v>0.631027253668763</v>
      </c>
      <c r="F6" s="13" t="n">
        <v>22368.4</v>
      </c>
      <c r="G6" s="16" t="n">
        <f aca="false">IF(D6=0,0,F6/D6)</f>
        <v>63.5465909090909</v>
      </c>
      <c r="H6" s="14" t="n">
        <f aca="false">F6*E6*Assumptions!$B$8</f>
        <v>169380.840251572</v>
      </c>
      <c r="I6" s="15" t="n">
        <f aca="false">H6/Segments!$H$17</f>
        <v>0.213508140996983</v>
      </c>
      <c r="J6" s="16" t="n">
        <f aca="false">G6*Assumptions!$B$8*Assumptions!$B$4</f>
        <v>305.023636363636</v>
      </c>
      <c r="K6" s="14" t="n">
        <f aca="false">IF(D6=0,0,J6/(1+Assumptions!$B$5)*(1-((1-E6)/(1+Assumptions!$B$5))^Assumptions!$B$6)/(1-((1-E6)/(1+Assumptions!$B$5))))</f>
        <v>415.481667601656</v>
      </c>
      <c r="L6" s="15" t="n">
        <f aca="false">IF(E6*J6=0,"n/a",Assumptions!$B$7/(E6*J6))</f>
        <v>0.155861784371771</v>
      </c>
      <c r="M6" s="17"/>
      <c r="N6" s="12"/>
    </row>
    <row r="7" customFormat="false" ht="15" hidden="false" customHeight="false" outlineLevel="0" collapsed="false">
      <c r="A7" s="12" t="s">
        <v>81</v>
      </c>
      <c r="B7" s="13" t="n">
        <v>1078</v>
      </c>
      <c r="C7" s="13" t="n">
        <v>381</v>
      </c>
      <c r="D7" s="14" t="n">
        <f aca="false">B7-C7</f>
        <v>697</v>
      </c>
      <c r="E7" s="15" t="n">
        <f aca="false">IF(B7=0,0,C7/B7)</f>
        <v>0.353432282003711</v>
      </c>
      <c r="F7" s="13" t="n">
        <v>25780.2</v>
      </c>
      <c r="G7" s="16" t="n">
        <f aca="false">IF(D7=0,0,F7/D7)</f>
        <v>36.9873744619799</v>
      </c>
      <c r="H7" s="14" t="n">
        <f aca="false">F7*E7*Assumptions!$B$8</f>
        <v>109338.658998145</v>
      </c>
      <c r="I7" s="15" t="n">
        <f aca="false">H7/Segments!$H$17</f>
        <v>0.137823698283255</v>
      </c>
      <c r="J7" s="16" t="n">
        <f aca="false">G7*Assumptions!$B$8*Assumptions!$B$4</f>
        <v>177.539397417504</v>
      </c>
      <c r="K7" s="14" t="n">
        <f aca="false">IF(D7=0,0,J7/(1+Assumptions!$B$5)*(1-((1-E7)/(1+Assumptions!$B$5))^Assumptions!$B$6)/(1-((1-E7)/(1+Assumptions!$B$5))))</f>
        <v>364.073644415263</v>
      </c>
      <c r="L7" s="15" t="n">
        <f aca="false">IF(E7*J7=0,"n/a",Assumptions!$B$7/(E7*J7))</f>
        <v>0.478101711498831</v>
      </c>
      <c r="M7" s="17"/>
      <c r="N7" s="12"/>
    </row>
    <row r="10" customFormat="false" ht="15" hidden="false" customHeight="false" outlineLevel="0" collapsed="false">
      <c r="A10" s="8" t="s">
        <v>82</v>
      </c>
    </row>
    <row r="11" customFormat="false" ht="15" hidden="false" customHeight="false" outlineLevel="0" collapsed="false">
      <c r="A11" s="10" t="s">
        <v>59</v>
      </c>
      <c r="B11" s="10" t="s">
        <v>20</v>
      </c>
      <c r="C11" s="10" t="s">
        <v>22</v>
      </c>
      <c r="D11" s="10" t="s">
        <v>23</v>
      </c>
    </row>
    <row r="12" customFormat="false" ht="15" hidden="false" customHeight="false" outlineLevel="0" collapsed="false">
      <c r="A12" s="2" t="s">
        <v>19</v>
      </c>
      <c r="B12" s="20" t="n">
        <f aca="false">Assumptions!$B$14</f>
        <v>0.1</v>
      </c>
      <c r="C12" s="20" t="n">
        <f aca="false">Assumptions!$B$15</f>
        <v>0.2</v>
      </c>
      <c r="D12" s="20" t="n">
        <f aca="false">Assumptions!$B$16</f>
        <v>0.3</v>
      </c>
    </row>
    <row r="13" customFormat="false" ht="15" hidden="false" customHeight="false" outlineLevel="0" collapsed="false">
      <c r="A13" s="2" t="s">
        <v>73</v>
      </c>
      <c r="B13" s="14" t="n">
        <f aca="false">$D$5</f>
        <v>273</v>
      </c>
      <c r="C13" s="14" t="n">
        <f aca="false">$D$5</f>
        <v>273</v>
      </c>
      <c r="D13" s="14" t="n">
        <f aca="false">$D$5</f>
        <v>273</v>
      </c>
    </row>
    <row r="14" customFormat="false" ht="15" hidden="false" customHeight="false" outlineLevel="0" collapsed="false">
      <c r="A14" s="2" t="s">
        <v>62</v>
      </c>
      <c r="B14" s="14" t="n">
        <f aca="false">$D$5*$E$5*B12</f>
        <v>19.1636462882096</v>
      </c>
      <c r="C14" s="14" t="n">
        <f aca="false">$D$5*$E$5*C12</f>
        <v>38.3272925764192</v>
      </c>
      <c r="D14" s="14" t="n">
        <f aca="false">$D$5*$E$5*D12</f>
        <v>57.4909388646288</v>
      </c>
    </row>
    <row r="15" customFormat="false" ht="15" hidden="false" customHeight="false" outlineLevel="0" collapsed="false">
      <c r="A15" s="2" t="s">
        <v>64</v>
      </c>
      <c r="B15" s="14" t="n">
        <f aca="false">$D$5*$E$5*$G$5*Assumptions!$B$8*Assumptions!$B$4*B12</f>
        <v>7414.38526637555</v>
      </c>
      <c r="C15" s="14" t="n">
        <f aca="false">$D$5*$E$5*$G$5*Assumptions!$B$8*Assumptions!$B$4*C12</f>
        <v>14828.7705327511</v>
      </c>
      <c r="D15" s="14" t="n">
        <f aca="false">$D$5*$E$5*$G$5*Assumptions!$B$8*Assumptions!$B$4*D12</f>
        <v>22243.1557991266</v>
      </c>
    </row>
    <row r="16" customFormat="false" ht="15" hidden="false" customHeight="false" outlineLevel="0" collapsed="false">
      <c r="A16" s="2" t="s">
        <v>65</v>
      </c>
      <c r="B16" s="14" t="n">
        <f aca="false">$D$5*Assumptions!$B$7</f>
        <v>8190</v>
      </c>
      <c r="C16" s="14" t="n">
        <f aca="false">$D$5*Assumptions!$B$7</f>
        <v>8190</v>
      </c>
      <c r="D16" s="14" t="n">
        <f aca="false">$D$5*Assumptions!$B$7</f>
        <v>8190</v>
      </c>
    </row>
    <row r="17" customFormat="false" ht="15" hidden="false" customHeight="false" outlineLevel="0" collapsed="false">
      <c r="A17" s="2" t="s">
        <v>66</v>
      </c>
      <c r="B17" s="14" t="n">
        <f aca="false">B15-B16</f>
        <v>-775.614733624454</v>
      </c>
      <c r="C17" s="14" t="n">
        <f aca="false">C15-C16</f>
        <v>6638.77053275109</v>
      </c>
      <c r="D17" s="14" t="n">
        <f aca="false">D15-D16</f>
        <v>14053.1557991266</v>
      </c>
    </row>
    <row r="18" customFormat="false" ht="15" hidden="false" customHeight="false" outlineLevel="0" collapsed="false">
      <c r="A18" s="2" t="s">
        <v>67</v>
      </c>
      <c r="B18" s="15" t="n">
        <f aca="false">IF(B16=0,0,B17/B16)</f>
        <v>-0.0947026536781995</v>
      </c>
      <c r="C18" s="15" t="n">
        <f aca="false">IF(C16=0,0,C17/C16)</f>
        <v>0.810594692643601</v>
      </c>
      <c r="D18" s="15" t="n">
        <f aca="false">IF(D16=0,0,D17/D16)</f>
        <v>1.7158920389654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83</v>
      </c>
    </row>
    <row r="3" customFormat="false" ht="15" hidden="false" customHeight="false" outlineLevel="0" collapsed="false">
      <c r="A3" s="2" t="s">
        <v>84</v>
      </c>
    </row>
    <row r="4" customFormat="false" ht="15" hidden="false" customHeight="false" outlineLevel="0" collapsed="false">
      <c r="A4" s="2" t="s">
        <v>85</v>
      </c>
    </row>
    <row r="5" customFormat="false" ht="15" hidden="false" customHeight="false" outlineLevel="0" collapsed="false">
      <c r="A5" s="2" t="s">
        <v>86</v>
      </c>
    </row>
    <row r="6" customFormat="false" ht="15" hidden="false" customHeight="false" outlineLevel="0" collapsed="false">
      <c r="A6" s="2" t="s">
        <v>87</v>
      </c>
    </row>
    <row r="7" customFormat="false" ht="15" hidden="false" customHeight="false" outlineLevel="0" collapsed="false">
      <c r="A7" s="2" t="s">
        <v>88</v>
      </c>
    </row>
    <row r="8" customFormat="false" ht="15" hidden="false" customHeight="false" outlineLevel="0" collapsed="false">
      <c r="A8" s="2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2026-10-03T09:08:05Z</dcterms:created>
  <dc:creator>openpyxl</dc:creator>
  <dc:description/>
  <dc:language>en-US</dc:language>
  <cp:lastModifiedBy/>
  <dcterms:modified xsi:type="dcterms:W3CDTF">2026-10-03T09:08:06Z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